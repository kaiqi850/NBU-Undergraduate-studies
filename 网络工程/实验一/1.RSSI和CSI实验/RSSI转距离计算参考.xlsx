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<sst xmlns="http://schemas.openxmlformats.org/spreadsheetml/2006/main" count="8" uniqueCount="6">
  <si>
    <t>RSSI/dBm</t>
  </si>
  <si>
    <t>距离/米</t>
  </si>
  <si>
    <t>更改下面两个参数可以更新数据及图表</t>
  </si>
  <si>
    <t>参数A</t>
  </si>
  <si>
    <t>参数N</t>
  </si>
  <si>
    <t>公式：d = 10^((abs(RSSI) - A) / (10 * n))
d - 计算所得距离
RSSI - 接收信号强度（负值）
A - 发射端和接收端相隔1米时的信号强度
n - 环境衰减因子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</si>
</sst>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距离</a:t>
            </a:r>
            <a:r>
              <a:rPr lang="en-US" altLang="zh-CN"/>
              <a:t>-RSSI</a:t>
            </a:r>
            <a:endParaRPr lang="en-US" altLang="zh-CN"/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RSSI/dBm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Sheet1!$D$2:$D$72</c:f>
              <c:numCache>
                <c:formatCode>General</c:formatCode>
                <c:ptCount val="71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</c:numCache>
            </c:numRef>
          </c:cat>
          <c:val>
            <c:numRef>
              <c:f>Sheet1!$E$2:$E$72</c:f>
              <c:numCache>
                <c:formatCode>General</c:formatCode>
                <c:ptCount val="71"/>
                <c:pt idx="0">
                  <c:v>36.9588001734407</c:v>
                </c:pt>
                <c:pt idx="1">
                  <c:v>49</c:v>
                </c:pt>
                <c:pt idx="2">
                  <c:v>56.0436503622272</c:v>
                </c:pt>
                <c:pt idx="3">
                  <c:v>61.0411998265593</c:v>
                </c:pt>
                <c:pt idx="4">
                  <c:v>64.9176003468815</c:v>
                </c:pt>
                <c:pt idx="5">
                  <c:v>68.0848501887865</c:v>
                </c:pt>
                <c:pt idx="6">
                  <c:v>70.762721774011</c:v>
                </c:pt>
                <c:pt idx="7">
                  <c:v>73.0823996531185</c:v>
                </c:pt>
                <c:pt idx="8">
                  <c:v>75.1285005510138</c:v>
                </c:pt>
                <c:pt idx="9">
                  <c:v>76.9588001734407</c:v>
                </c:pt>
                <c:pt idx="10">
                  <c:v>78.6145075797698</c:v>
                </c:pt>
                <c:pt idx="11">
                  <c:v>80.1260500153458</c:v>
                </c:pt>
                <c:pt idx="12">
                  <c:v>81.5165342657142</c:v>
                </c:pt>
                <c:pt idx="13">
                  <c:v>82.8039216005703</c:v>
                </c:pt>
                <c:pt idx="14">
                  <c:v>84.002450535668</c:v>
                </c:pt>
                <c:pt idx="15">
                  <c:v>85.1235994796778</c:v>
                </c:pt>
                <c:pt idx="16">
                  <c:v>86.1767570285717</c:v>
                </c:pt>
                <c:pt idx="17">
                  <c:v>87.169700377573</c:v>
                </c:pt>
                <c:pt idx="18">
                  <c:v>88.1089442115539</c:v>
                </c:pt>
                <c:pt idx="19">
                  <c:v>89</c:v>
                </c:pt>
                <c:pt idx="20">
                  <c:v>89.8475719627975</c:v>
                </c:pt>
                <c:pt idx="21">
                  <c:v>90.655707406329</c:v>
                </c:pt>
                <c:pt idx="22">
                  <c:v>91.4279136141445</c:v>
                </c:pt>
                <c:pt idx="23">
                  <c:v>92.167249841905</c:v>
                </c:pt>
                <c:pt idx="24">
                  <c:v>92.8764005203222</c:v>
                </c:pt>
                <c:pt idx="25">
                  <c:v>93.5577340922735</c:v>
                </c:pt>
                <c:pt idx="26">
                  <c:v>94.2133507398002</c:v>
                </c:pt>
                <c:pt idx="27">
                  <c:v>94.8451214271295</c:v>
                </c:pt>
                <c:pt idx="28">
                  <c:v>95.454720089399</c:v>
                </c:pt>
                <c:pt idx="29">
                  <c:v>96.0436503622273</c:v>
                </c:pt>
                <c:pt idx="30">
                  <c:v>96.6132679268117</c:v>
                </c:pt>
                <c:pt idx="31">
                  <c:v>97.164799306237</c:v>
                </c:pt>
                <c:pt idx="32">
                  <c:v>97.6993577685563</c:v>
                </c:pt>
                <c:pt idx="33">
                  <c:v>98.2179568551309</c:v>
                </c:pt>
                <c:pt idx="34">
                  <c:v>98.7215219474518</c:v>
                </c:pt>
                <c:pt idx="35">
                  <c:v>99.2109002041322</c:v>
                </c:pt>
                <c:pt idx="36">
                  <c:v>99.6868691361205</c:v>
                </c:pt>
                <c:pt idx="37">
                  <c:v>100.150144038113</c:v>
                </c:pt>
                <c:pt idx="38">
                  <c:v>100.601384454501</c:v>
                </c:pt>
                <c:pt idx="39">
                  <c:v>101.041199826559</c:v>
                </c:pt>
                <c:pt idx="40">
                  <c:v>101.47015444223</c:v>
                </c:pt>
                <c:pt idx="41">
                  <c:v>101.888771789357</c:v>
                </c:pt>
                <c:pt idx="42">
                  <c:v>102.297538396624</c:v>
                </c:pt>
                <c:pt idx="43">
                  <c:v>102.696907232888</c:v>
                </c:pt>
                <c:pt idx="44">
                  <c:v>103.087300724455</c:v>
                </c:pt>
                <c:pt idx="45">
                  <c:v>103.469113440704</c:v>
                </c:pt>
                <c:pt idx="46">
                  <c:v>103.842714490869</c:v>
                </c:pt>
                <c:pt idx="47">
                  <c:v>104.208449668464</c:v>
                </c:pt>
                <c:pt idx="48">
                  <c:v>104.566643374581</c:v>
                </c:pt>
                <c:pt idx="49">
                  <c:v>104.917600346881</c:v>
                </c:pt>
                <c:pt idx="50">
                  <c:v>105.261607217358</c:v>
                </c:pt>
                <c:pt idx="51">
                  <c:v>105.598933918833</c:v>
                </c:pt>
                <c:pt idx="52">
                  <c:v>105.929834957472</c:v>
                </c:pt>
                <c:pt idx="53">
                  <c:v>106.254550566359</c:v>
                </c:pt>
                <c:pt idx="54">
                  <c:v>106.573307753211</c:v>
                </c:pt>
                <c:pt idx="55">
                  <c:v>106.886321253689</c:v>
                </c:pt>
                <c:pt idx="56">
                  <c:v>107.19379440034</c:v>
                </c:pt>
                <c:pt idx="57">
                  <c:v>107.495919915958</c:v>
                </c:pt>
                <c:pt idx="58">
                  <c:v>107.792880639127</c:v>
                </c:pt>
                <c:pt idx="59">
                  <c:v>108.084850188787</c:v>
                </c:pt>
                <c:pt idx="60">
                  <c:v>108.371993573871</c:v>
                </c:pt>
                <c:pt idx="61">
                  <c:v>108.654467753371</c:v>
                </c:pt>
                <c:pt idx="62">
                  <c:v>108.932422151584</c:v>
                </c:pt>
                <c:pt idx="63">
                  <c:v>109.205999132796</c:v>
                </c:pt>
                <c:pt idx="64">
                  <c:v>109.475334439155</c:v>
                </c:pt>
                <c:pt idx="65">
                  <c:v>109.740557595116</c:v>
                </c:pt>
                <c:pt idx="66">
                  <c:v>110.001792281474</c:v>
                </c:pt>
                <c:pt idx="67">
                  <c:v>110.25915668169</c:v>
                </c:pt>
                <c:pt idx="68">
                  <c:v>110.512763802931</c:v>
                </c:pt>
                <c:pt idx="69">
                  <c:v>110.762721774011</c:v>
                </c:pt>
                <c:pt idx="70">
                  <c:v>111.009134122204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5677152"/>
        <c:axId val="625679776"/>
      </c:lineChart>
      <c:catAx>
        <c:axId val="6256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679776"/>
        <c:crosses val="autoZero"/>
        <c:auto val="1"/>
        <c:lblAlgn val="ctr"/>
        <c:lblOffset val="100"/>
        <c:noMultiLvlLbl val="0"/>
      </c:catAx>
      <c:valAx>
        <c:axId val="6256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6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RSSI-</a:t>
            </a:r>
            <a:r>
              <a:rPr lang="zh-CN" altLang="en-US"/>
              <a:t>距离</a:t>
            </a:r>
            <a:endParaRPr lang="zh-CN" altLang="en-US"/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距离/米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Sheet1!$A$2:$A$72</c:f>
              <c:numCache>
                <c:formatCode>General</c:formatCode>
                <c:ptCount val="7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</c:numCache>
            </c:numRef>
          </c:cat>
          <c:val>
            <c:numRef>
              <c:f>Sheet1!$B$2:$B$72</c:f>
              <c:numCache>
                <c:formatCode>General</c:formatCode>
                <c:ptCount val="71"/>
                <c:pt idx="0">
                  <c:v>0.334965439157828</c:v>
                </c:pt>
                <c:pt idx="1">
                  <c:v>0.354813389233575</c:v>
                </c:pt>
                <c:pt idx="2">
                  <c:v>0.375837404288444</c:v>
                </c:pt>
                <c:pt idx="3">
                  <c:v>0.398107170553497</c:v>
                </c:pt>
                <c:pt idx="4">
                  <c:v>0.421696503428582</c:v>
                </c:pt>
                <c:pt idx="5">
                  <c:v>0.446683592150963</c:v>
                </c:pt>
                <c:pt idx="6">
                  <c:v>0.47315125896148</c:v>
                </c:pt>
                <c:pt idx="7">
                  <c:v>0.501187233627272</c:v>
                </c:pt>
                <c:pt idx="8">
                  <c:v>0.530884444230988</c:v>
                </c:pt>
                <c:pt idx="9">
                  <c:v>0.562341325190349</c:v>
                </c:pt>
                <c:pt idx="10">
                  <c:v>0.59566214352901</c:v>
                </c:pt>
                <c:pt idx="11">
                  <c:v>0.630957344480193</c:v>
                </c:pt>
                <c:pt idx="12">
                  <c:v>0.668343917568615</c:v>
                </c:pt>
                <c:pt idx="13">
                  <c:v>0.707945784384138</c:v>
                </c:pt>
                <c:pt idx="14">
                  <c:v>0.749894209332456</c:v>
                </c:pt>
                <c:pt idx="15">
                  <c:v>0.794328234724281</c:v>
                </c:pt>
                <c:pt idx="16">
                  <c:v>0.841395141645195</c:v>
                </c:pt>
                <c:pt idx="17">
                  <c:v>0.891250938133746</c:v>
                </c:pt>
                <c:pt idx="18">
                  <c:v>0.944060876285923</c:v>
                </c:pt>
                <c:pt idx="19">
                  <c:v>1</c:v>
                </c:pt>
                <c:pt idx="20">
                  <c:v>1.05925372517729</c:v>
                </c:pt>
                <c:pt idx="21">
                  <c:v>1.12201845430196</c:v>
                </c:pt>
                <c:pt idx="22">
                  <c:v>1.18850222743702</c:v>
                </c:pt>
                <c:pt idx="23">
                  <c:v>1.25892541179417</c:v>
                </c:pt>
                <c:pt idx="24">
                  <c:v>1.33352143216332</c:v>
                </c:pt>
                <c:pt idx="25">
                  <c:v>1.41253754462275</c:v>
                </c:pt>
                <c:pt idx="26">
                  <c:v>1.49623565609443</c:v>
                </c:pt>
                <c:pt idx="27">
                  <c:v>1.58489319246111</c:v>
                </c:pt>
                <c:pt idx="28">
                  <c:v>1.67880401812256</c:v>
                </c:pt>
                <c:pt idx="29">
                  <c:v>1.77827941003892</c:v>
                </c:pt>
                <c:pt idx="30">
                  <c:v>1.8836490894898</c:v>
                </c:pt>
                <c:pt idx="31">
                  <c:v>1.99526231496888</c:v>
                </c:pt>
                <c:pt idx="32">
                  <c:v>2.11348903983665</c:v>
                </c:pt>
                <c:pt idx="33">
                  <c:v>2.23872113856834</c:v>
                </c:pt>
                <c:pt idx="34">
                  <c:v>2.37137370566165</c:v>
                </c:pt>
                <c:pt idx="35">
                  <c:v>2.51188643150958</c:v>
                </c:pt>
                <c:pt idx="36">
                  <c:v>2.66072505979881</c:v>
                </c:pt>
                <c:pt idx="37">
                  <c:v>2.81838293126445</c:v>
                </c:pt>
                <c:pt idx="38">
                  <c:v>2.98538261891796</c:v>
                </c:pt>
                <c:pt idx="39">
                  <c:v>3.16227766016838</c:v>
                </c:pt>
                <c:pt idx="40">
                  <c:v>3.34965439157828</c:v>
                </c:pt>
                <c:pt idx="41">
                  <c:v>3.54813389233575</c:v>
                </c:pt>
                <c:pt idx="42">
                  <c:v>3.75837404288444</c:v>
                </c:pt>
                <c:pt idx="43">
                  <c:v>3.98107170553497</c:v>
                </c:pt>
                <c:pt idx="44">
                  <c:v>4.21696503428582</c:v>
                </c:pt>
                <c:pt idx="45">
                  <c:v>4.46683592150963</c:v>
                </c:pt>
                <c:pt idx="46">
                  <c:v>4.73151258961481</c:v>
                </c:pt>
                <c:pt idx="47">
                  <c:v>5.01187233627272</c:v>
                </c:pt>
                <c:pt idx="48">
                  <c:v>5.30884444230988</c:v>
                </c:pt>
                <c:pt idx="49">
                  <c:v>5.62341325190349</c:v>
                </c:pt>
                <c:pt idx="50">
                  <c:v>5.9566214352901</c:v>
                </c:pt>
                <c:pt idx="51">
                  <c:v>6.30957344480193</c:v>
                </c:pt>
                <c:pt idx="52">
                  <c:v>6.68343917568615</c:v>
                </c:pt>
                <c:pt idx="53">
                  <c:v>7.07945784384138</c:v>
                </c:pt>
                <c:pt idx="54">
                  <c:v>7.49894209332456</c:v>
                </c:pt>
                <c:pt idx="55">
                  <c:v>7.94328234724282</c:v>
                </c:pt>
                <c:pt idx="56">
                  <c:v>8.41395141645195</c:v>
                </c:pt>
                <c:pt idx="57">
                  <c:v>8.91250938133745</c:v>
                </c:pt>
                <c:pt idx="58">
                  <c:v>9.44060876285923</c:v>
                </c:pt>
                <c:pt idx="59">
                  <c:v>10</c:v>
                </c:pt>
                <c:pt idx="60">
                  <c:v>10.5925372517729</c:v>
                </c:pt>
                <c:pt idx="61">
                  <c:v>11.2201845430196</c:v>
                </c:pt>
                <c:pt idx="62">
                  <c:v>11.8850222743702</c:v>
                </c:pt>
                <c:pt idx="63">
                  <c:v>12.5892541179417</c:v>
                </c:pt>
                <c:pt idx="64">
                  <c:v>13.3352143216332</c:v>
                </c:pt>
                <c:pt idx="65">
                  <c:v>14.1253754462275</c:v>
                </c:pt>
                <c:pt idx="66">
                  <c:v>14.9623565609443</c:v>
                </c:pt>
                <c:pt idx="67">
                  <c:v>15.8489319246111</c:v>
                </c:pt>
                <c:pt idx="68">
                  <c:v>16.7880401812256</c:v>
                </c:pt>
                <c:pt idx="69">
                  <c:v>17.7827941003892</c:v>
                </c:pt>
                <c:pt idx="70">
                  <c:v>18.836490894898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1734808"/>
        <c:axId val="611733824"/>
      </c:lineChart>
      <c:catAx>
        <c:axId val="61173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733824"/>
        <c:crosses val="autoZero"/>
        <c:auto val="1"/>
        <c:lblAlgn val="ctr"/>
        <c:lblOffset val="100"/>
        <c:noMultiLvlLbl val="0"/>
      </c:catAx>
      <c:valAx>
        <c:axId val="6117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73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7620</xdr:colOff>
      <xdr:row>25</xdr:row>
      <xdr:rowOff>53340</xdr:rowOff>
    </xdr:from>
    <xdr:to>
      <xdr:col>15</xdr:col>
      <xdr:colOff>7620</xdr:colOff>
      <xdr:row>42</xdr:row>
      <xdr:rowOff>68580</xdr:rowOff>
    </xdr:to>
    <xdr:graphicFrame>
      <xdr:nvGraphicFramePr>
        <xdr:cNvPr id="3" name="图表 2"/>
        <xdr:cNvGraphicFramePr/>
      </xdr:nvGraphicFramePr>
      <xdr:xfrm>
        <a:off x="4166870" y="4491990"/>
        <a:ext cx="5657850" cy="30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64770</xdr:rowOff>
    </xdr:from>
    <xdr:to>
      <xdr:col>14</xdr:col>
      <xdr:colOff>594360</xdr:colOff>
      <xdr:row>24</xdr:row>
      <xdr:rowOff>144780</xdr:rowOff>
    </xdr:to>
    <xdr:graphicFrame>
      <xdr:nvGraphicFramePr>
        <xdr:cNvPr id="4" name="图表 3"/>
        <xdr:cNvGraphicFramePr/>
      </xdr:nvGraphicFramePr>
      <xdr:xfrm>
        <a:off x="4159250" y="1658620"/>
        <a:ext cx="562356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workbookViewId="0">
      <selection activeCell="B25" sqref="B25"/>
    </sheetView>
  </sheetViews>
  <sheetFormatPr defaultColWidth="9" defaultRowHeight="14"/>
  <cols>
    <col min="2" max="2" width="14.7818181818182" customWidth="1"/>
    <col min="3" max="3" width="6.21818181818182" customWidth="1"/>
    <col min="4" max="4" width="9.10909090909091" customWidth="1"/>
    <col min="5" max="6" width="10.2181818181818" customWidth="1"/>
  </cols>
  <sheetData>
    <row r="1" spans="1:10">
      <c r="A1" t="s">
        <v>0</v>
      </c>
      <c r="B1" t="s">
        <v>1</v>
      </c>
      <c r="D1" t="s">
        <v>1</v>
      </c>
      <c r="E1" t="s">
        <v>0</v>
      </c>
      <c r="G1" s="1" t="s">
        <v>2</v>
      </c>
      <c r="H1" s="2"/>
      <c r="I1" s="2"/>
      <c r="J1" s="2"/>
    </row>
    <row r="2" spans="1:8">
      <c r="A2">
        <v>30</v>
      </c>
      <c r="B2">
        <f>POWER(10,((ABS(A2)-$H$2)/(10*$H$3)))</f>
        <v>0.334965439157828</v>
      </c>
      <c r="D2">
        <v>0.5</v>
      </c>
      <c r="E2">
        <f>LOG10(D2)*10*$H$3+$H$2</f>
        <v>36.9588001734407</v>
      </c>
      <c r="G2" s="3" t="s">
        <v>3</v>
      </c>
      <c r="H2">
        <v>49</v>
      </c>
    </row>
    <row r="3" spans="1:8">
      <c r="A3">
        <v>31</v>
      </c>
      <c r="B3">
        <f t="shared" ref="B3:B66" si="0">POWER(10,((ABS(A3)-$H$2)/(10*$H$3)))</f>
        <v>0.354813389233575</v>
      </c>
      <c r="D3">
        <v>1</v>
      </c>
      <c r="E3">
        <f t="shared" ref="E3:E66" si="1">LOG10(D3)*10*$H$3+$H$2</f>
        <v>49</v>
      </c>
      <c r="G3" s="4" t="s">
        <v>4</v>
      </c>
      <c r="H3">
        <v>4</v>
      </c>
    </row>
    <row r="4" spans="1:5">
      <c r="A4">
        <v>32</v>
      </c>
      <c r="B4">
        <f t="shared" si="0"/>
        <v>0.375837404288444</v>
      </c>
      <c r="D4">
        <v>1.5</v>
      </c>
      <c r="E4">
        <f t="shared" si="1"/>
        <v>56.0436503622272</v>
      </c>
    </row>
    <row r="5" ht="13.5" customHeight="1" spans="1:12">
      <c r="A5">
        <v>33</v>
      </c>
      <c r="B5">
        <f t="shared" si="0"/>
        <v>0.398107170553497</v>
      </c>
      <c r="D5">
        <v>2</v>
      </c>
      <c r="E5">
        <f t="shared" si="1"/>
        <v>61.0411998265593</v>
      </c>
      <c r="G5" s="5" t="s">
        <v>5</v>
      </c>
      <c r="H5" s="5"/>
      <c r="I5" s="5"/>
      <c r="J5" s="5"/>
      <c r="K5" s="5"/>
      <c r="L5" s="5"/>
    </row>
    <row r="6" spans="1:12">
      <c r="A6">
        <v>34</v>
      </c>
      <c r="B6">
        <f t="shared" si="0"/>
        <v>0.421696503428582</v>
      </c>
      <c r="D6">
        <v>2.5</v>
      </c>
      <c r="E6">
        <f t="shared" si="1"/>
        <v>64.9176003468815</v>
      </c>
      <c r="G6" s="5"/>
      <c r="H6" s="5"/>
      <c r="I6" s="5"/>
      <c r="J6" s="5"/>
      <c r="K6" s="5"/>
      <c r="L6" s="5"/>
    </row>
    <row r="7" spans="1:12">
      <c r="A7">
        <v>35</v>
      </c>
      <c r="B7">
        <f t="shared" si="0"/>
        <v>0.446683592150963</v>
      </c>
      <c r="D7">
        <v>3</v>
      </c>
      <c r="E7">
        <f t="shared" si="1"/>
        <v>68.0848501887865</v>
      </c>
      <c r="G7" s="5"/>
      <c r="H7" s="5"/>
      <c r="I7" s="5"/>
      <c r="J7" s="5"/>
      <c r="K7" s="5"/>
      <c r="L7" s="5"/>
    </row>
    <row r="8" spans="1:12">
      <c r="A8">
        <v>36</v>
      </c>
      <c r="B8">
        <f t="shared" si="0"/>
        <v>0.47315125896148</v>
      </c>
      <c r="D8">
        <v>3.5</v>
      </c>
      <c r="E8">
        <f t="shared" si="1"/>
        <v>70.762721774011</v>
      </c>
      <c r="G8" s="5"/>
      <c r="H8" s="5"/>
      <c r="I8" s="5"/>
      <c r="J8" s="5"/>
      <c r="K8" s="5"/>
      <c r="L8" s="5"/>
    </row>
    <row r="9" spans="1:12">
      <c r="A9">
        <v>37</v>
      </c>
      <c r="B9">
        <f t="shared" si="0"/>
        <v>0.501187233627272</v>
      </c>
      <c r="D9">
        <v>4</v>
      </c>
      <c r="E9">
        <f t="shared" si="1"/>
        <v>73.0823996531185</v>
      </c>
      <c r="G9" s="5"/>
      <c r="H9" s="5"/>
      <c r="I9" s="5"/>
      <c r="J9" s="5"/>
      <c r="K9" s="5"/>
      <c r="L9" s="5"/>
    </row>
    <row r="10" spans="1:5">
      <c r="A10">
        <v>38</v>
      </c>
      <c r="B10">
        <f t="shared" si="0"/>
        <v>0.530884444230988</v>
      </c>
      <c r="D10">
        <v>4.5</v>
      </c>
      <c r="E10">
        <f t="shared" si="1"/>
        <v>75.1285005510138</v>
      </c>
    </row>
    <row r="11" spans="1:5">
      <c r="A11">
        <v>39</v>
      </c>
      <c r="B11">
        <f t="shared" si="0"/>
        <v>0.562341325190349</v>
      </c>
      <c r="D11">
        <v>5</v>
      </c>
      <c r="E11">
        <f t="shared" si="1"/>
        <v>76.9588001734407</v>
      </c>
    </row>
    <row r="12" spans="1:5">
      <c r="A12">
        <v>40</v>
      </c>
      <c r="B12">
        <f t="shared" si="0"/>
        <v>0.59566214352901</v>
      </c>
      <c r="D12">
        <v>5.5</v>
      </c>
      <c r="E12">
        <f t="shared" si="1"/>
        <v>78.6145075797698</v>
      </c>
    </row>
    <row r="13" spans="1:5">
      <c r="A13">
        <v>41</v>
      </c>
      <c r="B13">
        <f t="shared" si="0"/>
        <v>0.630957344480193</v>
      </c>
      <c r="D13">
        <v>6</v>
      </c>
      <c r="E13">
        <f t="shared" si="1"/>
        <v>80.1260500153458</v>
      </c>
    </row>
    <row r="14" spans="1:5">
      <c r="A14">
        <v>42</v>
      </c>
      <c r="B14">
        <f t="shared" si="0"/>
        <v>0.668343917568615</v>
      </c>
      <c r="D14">
        <v>6.5</v>
      </c>
      <c r="E14">
        <f t="shared" si="1"/>
        <v>81.5165342657142</v>
      </c>
    </row>
    <row r="15" spans="1:5">
      <c r="A15">
        <v>43</v>
      </c>
      <c r="B15">
        <f t="shared" si="0"/>
        <v>0.707945784384138</v>
      </c>
      <c r="D15">
        <v>7</v>
      </c>
      <c r="E15">
        <f t="shared" si="1"/>
        <v>82.8039216005703</v>
      </c>
    </row>
    <row r="16" spans="1:5">
      <c r="A16">
        <v>44</v>
      </c>
      <c r="B16">
        <f t="shared" si="0"/>
        <v>0.749894209332456</v>
      </c>
      <c r="D16">
        <v>7.5</v>
      </c>
      <c r="E16">
        <f t="shared" si="1"/>
        <v>84.002450535668</v>
      </c>
    </row>
    <row r="17" spans="1:5">
      <c r="A17">
        <v>45</v>
      </c>
      <c r="B17">
        <f t="shared" si="0"/>
        <v>0.794328234724281</v>
      </c>
      <c r="D17">
        <v>8</v>
      </c>
      <c r="E17">
        <f t="shared" si="1"/>
        <v>85.1235994796778</v>
      </c>
    </row>
    <row r="18" spans="1:5">
      <c r="A18">
        <v>46</v>
      </c>
      <c r="B18">
        <f t="shared" si="0"/>
        <v>0.841395141645195</v>
      </c>
      <c r="D18">
        <v>8.5</v>
      </c>
      <c r="E18">
        <f t="shared" si="1"/>
        <v>86.1767570285717</v>
      </c>
    </row>
    <row r="19" spans="1:5">
      <c r="A19">
        <v>47</v>
      </c>
      <c r="B19">
        <f t="shared" si="0"/>
        <v>0.891250938133746</v>
      </c>
      <c r="D19">
        <v>9</v>
      </c>
      <c r="E19">
        <f t="shared" si="1"/>
        <v>87.169700377573</v>
      </c>
    </row>
    <row r="20" spans="1:5">
      <c r="A20">
        <v>48</v>
      </c>
      <c r="B20">
        <f t="shared" si="0"/>
        <v>0.944060876285923</v>
      </c>
      <c r="D20">
        <v>9.5</v>
      </c>
      <c r="E20">
        <f t="shared" si="1"/>
        <v>88.1089442115539</v>
      </c>
    </row>
    <row r="21" spans="1:5">
      <c r="A21">
        <v>49</v>
      </c>
      <c r="B21">
        <f t="shared" si="0"/>
        <v>1</v>
      </c>
      <c r="D21">
        <v>10</v>
      </c>
      <c r="E21">
        <f t="shared" si="1"/>
        <v>89</v>
      </c>
    </row>
    <row r="22" spans="1:5">
      <c r="A22">
        <v>50</v>
      </c>
      <c r="B22">
        <f t="shared" si="0"/>
        <v>1.05925372517729</v>
      </c>
      <c r="D22">
        <v>10.5</v>
      </c>
      <c r="E22">
        <f t="shared" si="1"/>
        <v>89.8475719627975</v>
      </c>
    </row>
    <row r="23" spans="1:5">
      <c r="A23">
        <v>51</v>
      </c>
      <c r="B23">
        <f t="shared" si="0"/>
        <v>1.12201845430196</v>
      </c>
      <c r="D23">
        <v>11</v>
      </c>
      <c r="E23">
        <f t="shared" si="1"/>
        <v>90.655707406329</v>
      </c>
    </row>
    <row r="24" spans="1:5">
      <c r="A24">
        <v>52</v>
      </c>
      <c r="B24">
        <f t="shared" si="0"/>
        <v>1.18850222743702</v>
      </c>
      <c r="D24">
        <v>11.5</v>
      </c>
      <c r="E24">
        <f t="shared" si="1"/>
        <v>91.4279136141445</v>
      </c>
    </row>
    <row r="25" spans="1:5">
      <c r="A25">
        <v>53</v>
      </c>
      <c r="B25">
        <f t="shared" si="0"/>
        <v>1.25892541179417</v>
      </c>
      <c r="D25">
        <v>12</v>
      </c>
      <c r="E25">
        <f t="shared" si="1"/>
        <v>92.167249841905</v>
      </c>
    </row>
    <row r="26" spans="1:5">
      <c r="A26">
        <v>54</v>
      </c>
      <c r="B26">
        <f t="shared" si="0"/>
        <v>1.33352143216332</v>
      </c>
      <c r="D26">
        <v>12.5</v>
      </c>
      <c r="E26">
        <f t="shared" si="1"/>
        <v>92.8764005203222</v>
      </c>
    </row>
    <row r="27" spans="1:5">
      <c r="A27">
        <v>55</v>
      </c>
      <c r="B27">
        <f t="shared" si="0"/>
        <v>1.41253754462275</v>
      </c>
      <c r="D27">
        <v>13</v>
      </c>
      <c r="E27">
        <f t="shared" si="1"/>
        <v>93.5577340922735</v>
      </c>
    </row>
    <row r="28" spans="1:5">
      <c r="A28">
        <v>56</v>
      </c>
      <c r="B28">
        <f t="shared" si="0"/>
        <v>1.49623565609443</v>
      </c>
      <c r="D28">
        <v>13.5</v>
      </c>
      <c r="E28">
        <f t="shared" si="1"/>
        <v>94.2133507398002</v>
      </c>
    </row>
    <row r="29" spans="1:5">
      <c r="A29">
        <v>57</v>
      </c>
      <c r="B29">
        <f t="shared" si="0"/>
        <v>1.58489319246111</v>
      </c>
      <c r="D29">
        <v>14</v>
      </c>
      <c r="E29">
        <f t="shared" si="1"/>
        <v>94.8451214271295</v>
      </c>
    </row>
    <row r="30" spans="1:5">
      <c r="A30">
        <v>58</v>
      </c>
      <c r="B30">
        <f t="shared" si="0"/>
        <v>1.67880401812256</v>
      </c>
      <c r="D30">
        <v>14.5</v>
      </c>
      <c r="E30">
        <f t="shared" si="1"/>
        <v>95.454720089399</v>
      </c>
    </row>
    <row r="31" spans="1:5">
      <c r="A31">
        <v>59</v>
      </c>
      <c r="B31">
        <f t="shared" si="0"/>
        <v>1.77827941003892</v>
      </c>
      <c r="D31">
        <v>15</v>
      </c>
      <c r="E31">
        <f t="shared" si="1"/>
        <v>96.0436503622273</v>
      </c>
    </row>
    <row r="32" spans="1:5">
      <c r="A32">
        <v>60</v>
      </c>
      <c r="B32">
        <f t="shared" si="0"/>
        <v>1.8836490894898</v>
      </c>
      <c r="D32">
        <v>15.5</v>
      </c>
      <c r="E32">
        <f t="shared" si="1"/>
        <v>96.6132679268117</v>
      </c>
    </row>
    <row r="33" spans="1:5">
      <c r="A33">
        <v>61</v>
      </c>
      <c r="B33">
        <f t="shared" si="0"/>
        <v>1.99526231496888</v>
      </c>
      <c r="D33">
        <v>16</v>
      </c>
      <c r="E33">
        <f t="shared" si="1"/>
        <v>97.164799306237</v>
      </c>
    </row>
    <row r="34" spans="1:5">
      <c r="A34">
        <v>62</v>
      </c>
      <c r="B34">
        <f t="shared" si="0"/>
        <v>2.11348903983665</v>
      </c>
      <c r="D34">
        <v>16.5</v>
      </c>
      <c r="E34">
        <f t="shared" si="1"/>
        <v>97.6993577685563</v>
      </c>
    </row>
    <row r="35" spans="1:5">
      <c r="A35">
        <v>63</v>
      </c>
      <c r="B35">
        <f t="shared" si="0"/>
        <v>2.23872113856834</v>
      </c>
      <c r="D35">
        <v>17</v>
      </c>
      <c r="E35">
        <f t="shared" si="1"/>
        <v>98.2179568551309</v>
      </c>
    </row>
    <row r="36" spans="1:5">
      <c r="A36">
        <v>64</v>
      </c>
      <c r="B36">
        <f t="shared" si="0"/>
        <v>2.37137370566165</v>
      </c>
      <c r="D36">
        <v>17.5</v>
      </c>
      <c r="E36">
        <f t="shared" si="1"/>
        <v>98.7215219474518</v>
      </c>
    </row>
    <row r="37" spans="1:5">
      <c r="A37">
        <v>65</v>
      </c>
      <c r="B37">
        <f t="shared" si="0"/>
        <v>2.51188643150958</v>
      </c>
      <c r="D37">
        <v>18</v>
      </c>
      <c r="E37">
        <f t="shared" si="1"/>
        <v>99.2109002041322</v>
      </c>
    </row>
    <row r="38" spans="1:5">
      <c r="A38">
        <v>66</v>
      </c>
      <c r="B38">
        <f t="shared" si="0"/>
        <v>2.66072505979881</v>
      </c>
      <c r="D38">
        <v>18.5</v>
      </c>
      <c r="E38">
        <f t="shared" si="1"/>
        <v>99.6868691361205</v>
      </c>
    </row>
    <row r="39" spans="1:5">
      <c r="A39">
        <v>67</v>
      </c>
      <c r="B39">
        <f t="shared" si="0"/>
        <v>2.81838293126445</v>
      </c>
      <c r="D39">
        <v>19</v>
      </c>
      <c r="E39">
        <f t="shared" si="1"/>
        <v>100.150144038113</v>
      </c>
    </row>
    <row r="40" spans="1:5">
      <c r="A40">
        <v>68</v>
      </c>
      <c r="B40">
        <f t="shared" si="0"/>
        <v>2.98538261891796</v>
      </c>
      <c r="D40">
        <v>19.5</v>
      </c>
      <c r="E40">
        <f t="shared" si="1"/>
        <v>100.601384454501</v>
      </c>
    </row>
    <row r="41" spans="1:5">
      <c r="A41">
        <v>69</v>
      </c>
      <c r="B41">
        <f t="shared" si="0"/>
        <v>3.16227766016838</v>
      </c>
      <c r="D41">
        <v>20</v>
      </c>
      <c r="E41">
        <f t="shared" si="1"/>
        <v>101.041199826559</v>
      </c>
    </row>
    <row r="42" spans="1:5">
      <c r="A42">
        <v>70</v>
      </c>
      <c r="B42">
        <f t="shared" si="0"/>
        <v>3.34965439157828</v>
      </c>
      <c r="D42">
        <v>20.5</v>
      </c>
      <c r="E42">
        <f t="shared" si="1"/>
        <v>101.47015444223</v>
      </c>
    </row>
    <row r="43" spans="1:5">
      <c r="A43">
        <v>71</v>
      </c>
      <c r="B43">
        <f t="shared" si="0"/>
        <v>3.54813389233575</v>
      </c>
      <c r="D43">
        <v>21</v>
      </c>
      <c r="E43">
        <f t="shared" si="1"/>
        <v>101.888771789357</v>
      </c>
    </row>
    <row r="44" spans="1:5">
      <c r="A44">
        <v>72</v>
      </c>
      <c r="B44">
        <f t="shared" si="0"/>
        <v>3.75837404288444</v>
      </c>
      <c r="D44">
        <v>21.5</v>
      </c>
      <c r="E44">
        <f t="shared" si="1"/>
        <v>102.297538396624</v>
      </c>
    </row>
    <row r="45" spans="1:5">
      <c r="A45">
        <v>73</v>
      </c>
      <c r="B45">
        <f t="shared" si="0"/>
        <v>3.98107170553497</v>
      </c>
      <c r="D45">
        <v>22</v>
      </c>
      <c r="E45">
        <f t="shared" si="1"/>
        <v>102.696907232888</v>
      </c>
    </row>
    <row r="46" spans="1:5">
      <c r="A46">
        <v>74</v>
      </c>
      <c r="B46">
        <f t="shared" si="0"/>
        <v>4.21696503428582</v>
      </c>
      <c r="D46">
        <v>22.5</v>
      </c>
      <c r="E46">
        <f t="shared" si="1"/>
        <v>103.087300724455</v>
      </c>
    </row>
    <row r="47" spans="1:5">
      <c r="A47">
        <v>75</v>
      </c>
      <c r="B47">
        <f t="shared" si="0"/>
        <v>4.46683592150963</v>
      </c>
      <c r="D47">
        <v>23</v>
      </c>
      <c r="E47">
        <f t="shared" si="1"/>
        <v>103.469113440704</v>
      </c>
    </row>
    <row r="48" spans="1:5">
      <c r="A48">
        <v>76</v>
      </c>
      <c r="B48">
        <f t="shared" si="0"/>
        <v>4.73151258961481</v>
      </c>
      <c r="D48">
        <v>23.5</v>
      </c>
      <c r="E48">
        <f t="shared" si="1"/>
        <v>103.842714490869</v>
      </c>
    </row>
    <row r="49" spans="1:5">
      <c r="A49">
        <v>77</v>
      </c>
      <c r="B49">
        <f t="shared" si="0"/>
        <v>5.01187233627272</v>
      </c>
      <c r="D49">
        <v>24</v>
      </c>
      <c r="E49">
        <f t="shared" si="1"/>
        <v>104.208449668464</v>
      </c>
    </row>
    <row r="50" spans="1:5">
      <c r="A50">
        <v>78</v>
      </c>
      <c r="B50">
        <f t="shared" si="0"/>
        <v>5.30884444230988</v>
      </c>
      <c r="D50">
        <v>24.5</v>
      </c>
      <c r="E50">
        <f t="shared" si="1"/>
        <v>104.566643374581</v>
      </c>
    </row>
    <row r="51" spans="1:5">
      <c r="A51">
        <v>79</v>
      </c>
      <c r="B51">
        <f t="shared" si="0"/>
        <v>5.62341325190349</v>
      </c>
      <c r="D51">
        <v>25</v>
      </c>
      <c r="E51">
        <f t="shared" si="1"/>
        <v>104.917600346881</v>
      </c>
    </row>
    <row r="52" spans="1:5">
      <c r="A52">
        <v>80</v>
      </c>
      <c r="B52">
        <f t="shared" si="0"/>
        <v>5.9566214352901</v>
      </c>
      <c r="D52">
        <v>25.5</v>
      </c>
      <c r="E52">
        <f t="shared" si="1"/>
        <v>105.261607217358</v>
      </c>
    </row>
    <row r="53" spans="1:5">
      <c r="A53">
        <v>81</v>
      </c>
      <c r="B53">
        <f t="shared" si="0"/>
        <v>6.30957344480193</v>
      </c>
      <c r="D53">
        <v>26</v>
      </c>
      <c r="E53">
        <f t="shared" si="1"/>
        <v>105.598933918833</v>
      </c>
    </row>
    <row r="54" spans="1:5">
      <c r="A54">
        <v>82</v>
      </c>
      <c r="B54">
        <f t="shared" si="0"/>
        <v>6.68343917568615</v>
      </c>
      <c r="D54">
        <v>26.5</v>
      </c>
      <c r="E54">
        <f t="shared" si="1"/>
        <v>105.929834957472</v>
      </c>
    </row>
    <row r="55" spans="1:5">
      <c r="A55">
        <v>83</v>
      </c>
      <c r="B55">
        <f t="shared" si="0"/>
        <v>7.07945784384138</v>
      </c>
      <c r="D55">
        <v>27</v>
      </c>
      <c r="E55">
        <f t="shared" si="1"/>
        <v>106.254550566359</v>
      </c>
    </row>
    <row r="56" spans="1:5">
      <c r="A56">
        <v>84</v>
      </c>
      <c r="B56">
        <f t="shared" si="0"/>
        <v>7.49894209332456</v>
      </c>
      <c r="D56">
        <v>27.5</v>
      </c>
      <c r="E56">
        <f t="shared" si="1"/>
        <v>106.573307753211</v>
      </c>
    </row>
    <row r="57" spans="1:5">
      <c r="A57">
        <v>85</v>
      </c>
      <c r="B57">
        <f t="shared" si="0"/>
        <v>7.94328234724282</v>
      </c>
      <c r="D57">
        <v>28</v>
      </c>
      <c r="E57">
        <f t="shared" si="1"/>
        <v>106.886321253689</v>
      </c>
    </row>
    <row r="58" spans="1:5">
      <c r="A58">
        <v>86</v>
      </c>
      <c r="B58">
        <f t="shared" si="0"/>
        <v>8.41395141645195</v>
      </c>
      <c r="D58">
        <v>28.5</v>
      </c>
      <c r="E58">
        <f t="shared" si="1"/>
        <v>107.19379440034</v>
      </c>
    </row>
    <row r="59" spans="1:5">
      <c r="A59">
        <v>87</v>
      </c>
      <c r="B59">
        <f t="shared" si="0"/>
        <v>8.91250938133745</v>
      </c>
      <c r="D59">
        <v>29</v>
      </c>
      <c r="E59">
        <f t="shared" si="1"/>
        <v>107.495919915958</v>
      </c>
    </row>
    <row r="60" spans="1:5">
      <c r="A60">
        <v>88</v>
      </c>
      <c r="B60">
        <f t="shared" si="0"/>
        <v>9.44060876285923</v>
      </c>
      <c r="D60">
        <v>29.5</v>
      </c>
      <c r="E60">
        <f t="shared" si="1"/>
        <v>107.792880639127</v>
      </c>
    </row>
    <row r="61" spans="1:5">
      <c r="A61">
        <v>89</v>
      </c>
      <c r="B61">
        <f t="shared" si="0"/>
        <v>10</v>
      </c>
      <c r="D61">
        <v>30</v>
      </c>
      <c r="E61">
        <f t="shared" si="1"/>
        <v>108.084850188787</v>
      </c>
    </row>
    <row r="62" spans="1:5">
      <c r="A62">
        <v>90</v>
      </c>
      <c r="B62">
        <f t="shared" si="0"/>
        <v>10.5925372517729</v>
      </c>
      <c r="D62">
        <v>30.5</v>
      </c>
      <c r="E62">
        <f t="shared" si="1"/>
        <v>108.371993573871</v>
      </c>
    </row>
    <row r="63" spans="1:5">
      <c r="A63">
        <v>91</v>
      </c>
      <c r="B63">
        <f t="shared" si="0"/>
        <v>11.2201845430196</v>
      </c>
      <c r="D63">
        <v>31</v>
      </c>
      <c r="E63">
        <f t="shared" si="1"/>
        <v>108.654467753371</v>
      </c>
    </row>
    <row r="64" spans="1:5">
      <c r="A64">
        <v>92</v>
      </c>
      <c r="B64">
        <f t="shared" si="0"/>
        <v>11.8850222743702</v>
      </c>
      <c r="D64">
        <v>31.5</v>
      </c>
      <c r="E64">
        <f t="shared" si="1"/>
        <v>108.932422151584</v>
      </c>
    </row>
    <row r="65" spans="1:5">
      <c r="A65">
        <v>93</v>
      </c>
      <c r="B65">
        <f t="shared" si="0"/>
        <v>12.5892541179417</v>
      </c>
      <c r="D65">
        <v>32</v>
      </c>
      <c r="E65">
        <f t="shared" si="1"/>
        <v>109.205999132796</v>
      </c>
    </row>
    <row r="66" spans="1:5">
      <c r="A66">
        <v>94</v>
      </c>
      <c r="B66">
        <f t="shared" si="0"/>
        <v>13.3352143216332</v>
      </c>
      <c r="D66">
        <v>32.5</v>
      </c>
      <c r="E66">
        <f t="shared" si="1"/>
        <v>109.475334439155</v>
      </c>
    </row>
    <row r="67" spans="1:5">
      <c r="A67">
        <v>95</v>
      </c>
      <c r="B67">
        <f t="shared" ref="B67:B72" si="2">POWER(10,((ABS(A67)-$H$2)/(10*$H$3)))</f>
        <v>14.1253754462275</v>
      </c>
      <c r="D67">
        <v>33</v>
      </c>
      <c r="E67">
        <f t="shared" ref="E67:E72" si="3">LOG10(D67)*10*$H$3+$H$2</f>
        <v>109.740557595116</v>
      </c>
    </row>
    <row r="68" spans="1:5">
      <c r="A68">
        <v>96</v>
      </c>
      <c r="B68">
        <f t="shared" si="2"/>
        <v>14.9623565609443</v>
      </c>
      <c r="D68">
        <v>33.5</v>
      </c>
      <c r="E68">
        <f t="shared" si="3"/>
        <v>110.001792281474</v>
      </c>
    </row>
    <row r="69" spans="1:5">
      <c r="A69">
        <v>97</v>
      </c>
      <c r="B69">
        <f t="shared" si="2"/>
        <v>15.8489319246111</v>
      </c>
      <c r="D69">
        <v>34</v>
      </c>
      <c r="E69">
        <f t="shared" si="3"/>
        <v>110.25915668169</v>
      </c>
    </row>
    <row r="70" spans="1:5">
      <c r="A70">
        <v>98</v>
      </c>
      <c r="B70">
        <f t="shared" si="2"/>
        <v>16.7880401812256</v>
      </c>
      <c r="D70">
        <v>34.5</v>
      </c>
      <c r="E70">
        <f t="shared" si="3"/>
        <v>110.512763802931</v>
      </c>
    </row>
    <row r="71" spans="1:5">
      <c r="A71">
        <v>99</v>
      </c>
      <c r="B71">
        <f t="shared" si="2"/>
        <v>17.7827941003892</v>
      </c>
      <c r="D71">
        <v>35</v>
      </c>
      <c r="E71">
        <f t="shared" si="3"/>
        <v>110.762721774011</v>
      </c>
    </row>
    <row r="72" spans="1:5">
      <c r="A72">
        <v>100</v>
      </c>
      <c r="B72">
        <f t="shared" si="2"/>
        <v>18.836490894898</v>
      </c>
      <c r="D72">
        <v>35.5</v>
      </c>
      <c r="E72">
        <f t="shared" si="3"/>
        <v>111.009134122204</v>
      </c>
    </row>
  </sheetData>
  <mergeCells count="2">
    <mergeCell ref="G1:J1"/>
    <mergeCell ref="G5:L9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least sir</cp:lastModifiedBy>
  <dcterms:created xsi:type="dcterms:W3CDTF">2018-11-26T14:27:00Z</dcterms:created>
  <dcterms:modified xsi:type="dcterms:W3CDTF">2024-09-10T03:27:27Z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A22C6E293FCB49E3B5B02D4847365DB3</vt:lpwstr>
  </property>
  <property fmtid="{D5CDD505-2E9C-101B-9397-08002B2CF9AE}" pid="3" name="KSOProductBuildVer">
    <vt:lpwstr>2052-11.1.0.12763</vt:lpwstr>
  </property>
</Properties>
</file>